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ber\Desktop\proyecto 1\"/>
    </mc:Choice>
  </mc:AlternateContent>
  <xr:revisionPtr revIDLastSave="0" documentId="13_ncr:9_{7281D06C-F2DC-41F4-AD0F-E01E09514784}" xr6:coauthVersionLast="47" xr6:coauthVersionMax="47" xr10:uidLastSave="{00000000-0000-0000-0000-000000000000}"/>
  <bookViews>
    <workbookView xWindow="-108" yWindow="-108" windowWidth="23256" windowHeight="13896" xr2:uid="{7E847EF5-B929-4C4B-98C1-268C9BC16A47}"/>
  </bookViews>
  <sheets>
    <sheet name="digestion" sheetId="1" r:id="rId1"/>
  </sheets>
  <calcPr calcId="0"/>
</workbook>
</file>

<file path=xl/calcChain.xml><?xml version="1.0" encoding="utf-8"?>
<calcChain xmlns="http://schemas.openxmlformats.org/spreadsheetml/2006/main">
  <c r="D7" i="1" l="1"/>
  <c r="D8" i="1"/>
  <c r="D9" i="1"/>
  <c r="D10" i="1"/>
  <c r="D11" i="1"/>
  <c r="D12" i="1"/>
  <c r="D5" i="1"/>
  <c r="D4" i="1"/>
  <c r="D3" i="1"/>
  <c r="D2" i="1"/>
</calcChain>
</file>

<file path=xl/sharedStrings.xml><?xml version="1.0" encoding="utf-8"?>
<sst xmlns="http://schemas.openxmlformats.org/spreadsheetml/2006/main" count="58" uniqueCount="28">
  <si>
    <t xml:space="preserve">ninguna </t>
  </si>
  <si>
    <t xml:space="preserve">mucina </t>
  </si>
  <si>
    <t xml:space="preserve">Lipasa pancreatica </t>
  </si>
  <si>
    <t>enzima</t>
  </si>
  <si>
    <t xml:space="preserve">pepsina </t>
  </si>
  <si>
    <t xml:space="preserve">Trigliceridos de cadena media, Tween 80, Cremophor, Polietilenglicol </t>
  </si>
  <si>
    <t xml:space="preserve">snedds </t>
  </si>
  <si>
    <t>sistema</t>
  </si>
  <si>
    <t>fase</t>
  </si>
  <si>
    <t>ph</t>
  </si>
  <si>
    <t>tiempo</t>
  </si>
  <si>
    <t>agitacion</t>
  </si>
  <si>
    <t>temperatura</t>
  </si>
  <si>
    <t>tamaño_particula</t>
  </si>
  <si>
    <t>indice_polidispersidad</t>
  </si>
  <si>
    <t xml:space="preserve">Inicial </t>
  </si>
  <si>
    <t xml:space="preserve">Boca </t>
  </si>
  <si>
    <t>Estomago</t>
  </si>
  <si>
    <t>Estomago - Intestino</t>
  </si>
  <si>
    <t xml:space="preserve">Intestino (15 min) </t>
  </si>
  <si>
    <t xml:space="preserve">Intestino </t>
  </si>
  <si>
    <t>Intestino (30 min )</t>
  </si>
  <si>
    <t xml:space="preserve">Intestino (45 min) </t>
  </si>
  <si>
    <t xml:space="preserve">Intestino (60 min) </t>
  </si>
  <si>
    <t xml:space="preserve">Intestino (75 min) </t>
  </si>
  <si>
    <t>Intestino (90 min)</t>
  </si>
  <si>
    <t xml:space="preserve">Intestino (105 min) </t>
  </si>
  <si>
    <t xml:space="preserve">Intestino (120 min)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</si>
</sst>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198B82-300E-421F-87BA-E25D8FE3D26C}">
  <dimension ref="A1:J13"/>
  <sheetViews>
    <sheetView tabSelected="1" workbookViewId="0">
      <selection activeCell="E26" sqref="E26"/>
    </sheetView>
  </sheetViews>
  <sheetFormatPr baseColWidth="10" defaultRowHeight="14.4" x14ac:dyDescent="0.3"/>
  <cols>
    <col min="1" max="1" width="57.6640625" customWidth="1"/>
    <col min="2" max="2" width="59.77734375" customWidth="1"/>
    <col min="5" max="5" width="30.88671875" customWidth="1"/>
    <col min="6" max="6" width="20.109375" customWidth="1"/>
    <col min="8" max="8" width="22.77734375" customWidth="1"/>
    <col min="9" max="9" width="19.33203125" customWidth="1"/>
    <col min="10" max="10" width="17.88671875" customWidth="1"/>
  </cols>
  <sheetData>
    <row r="1" spans="1:10" x14ac:dyDescent="0.3">
      <c r="A1" s="1" t="s">
        <v>6</v>
      </c>
      <c r="B1" s="1" t="s">
        <v>7</v>
      </c>
      <c r="C1" s="1" t="s">
        <v>8</v>
      </c>
      <c r="D1" s="1" t="s">
        <v>10</v>
      </c>
      <c r="E1" s="1" t="s">
        <v>13</v>
      </c>
      <c r="F1" s="1" t="s">
        <v>14</v>
      </c>
      <c r="G1" s="1" t="s">
        <v>9</v>
      </c>
      <c r="H1" s="1" t="s">
        <v>3</v>
      </c>
      <c r="I1" s="1" t="s">
        <v>11</v>
      </c>
      <c r="J1" s="1" t="s">
        <v>12</v>
      </c>
    </row>
    <row r="2" spans="1:10" x14ac:dyDescent="0.3">
      <c r="A2" t="s">
        <v>5</v>
      </c>
      <c r="B2" s="1" t="s">
        <v>15</v>
      </c>
      <c r="C2" s="1" t="s">
        <v>15</v>
      </c>
      <c r="D2" s="1">
        <f>0/60</f>
        <v>0</v>
      </c>
      <c r="E2" s="1">
        <v>22.85</v>
      </c>
      <c r="F2" s="1">
        <v>0.122</v>
      </c>
      <c r="G2" s="1">
        <v>7</v>
      </c>
      <c r="H2" s="1" t="s">
        <v>0</v>
      </c>
      <c r="I2" s="1">
        <v>100</v>
      </c>
      <c r="J2" s="1">
        <v>37</v>
      </c>
    </row>
    <row r="3" spans="1:10" x14ac:dyDescent="0.3">
      <c r="A3" t="s">
        <v>5</v>
      </c>
      <c r="B3" s="1" t="s">
        <v>16</v>
      </c>
      <c r="C3" s="1" t="s">
        <v>16</v>
      </c>
      <c r="D3" s="1">
        <f>10/60</f>
        <v>0.16666666666666666</v>
      </c>
      <c r="E3" s="1">
        <v>29.366666666666664</v>
      </c>
      <c r="F3" s="1">
        <v>0.3036666666666667</v>
      </c>
      <c r="G3" s="1">
        <v>7</v>
      </c>
      <c r="H3" s="1" t="s">
        <v>1</v>
      </c>
      <c r="I3" s="1">
        <v>100</v>
      </c>
      <c r="J3" s="1">
        <v>37</v>
      </c>
    </row>
    <row r="4" spans="1:10" x14ac:dyDescent="0.3">
      <c r="A4" t="s">
        <v>5</v>
      </c>
      <c r="B4" s="1" t="s">
        <v>17</v>
      </c>
      <c r="C4" s="1" t="s">
        <v>17</v>
      </c>
      <c r="D4" s="1">
        <f>60/60</f>
        <v>1</v>
      </c>
      <c r="E4" s="1">
        <v>25.580000000000002</v>
      </c>
      <c r="F4" s="1">
        <v>0.14066666666666666</v>
      </c>
      <c r="G4" s="1">
        <v>7</v>
      </c>
      <c r="H4" s="1" t="s">
        <v>4</v>
      </c>
      <c r="I4" s="1">
        <v>100</v>
      </c>
      <c r="J4" s="1">
        <v>37</v>
      </c>
    </row>
    <row r="5" spans="1:10" x14ac:dyDescent="0.3">
      <c r="A5" t="s">
        <v>5</v>
      </c>
      <c r="B5" s="1" t="s">
        <v>18</v>
      </c>
      <c r="C5" s="1" t="s">
        <v>17</v>
      </c>
      <c r="D5" s="1">
        <f>120/60</f>
        <v>2</v>
      </c>
      <c r="E5" s="1">
        <v>26.293333333333333</v>
      </c>
      <c r="F5" s="1">
        <v>0.246</v>
      </c>
      <c r="G5" s="1">
        <v>7</v>
      </c>
      <c r="H5" s="1" t="s">
        <v>4</v>
      </c>
      <c r="I5" s="1">
        <v>100</v>
      </c>
      <c r="J5" s="1">
        <v>37</v>
      </c>
    </row>
    <row r="6" spans="1:10" x14ac:dyDescent="0.3">
      <c r="A6" t="s">
        <v>5</v>
      </c>
      <c r="B6" s="1" t="s">
        <v>19</v>
      </c>
      <c r="C6" s="1" t="s">
        <v>20</v>
      </c>
      <c r="D6" s="1">
        <v>135</v>
      </c>
      <c r="E6" s="1">
        <v>26.806666666666668</v>
      </c>
      <c r="F6" s="1">
        <v>0.14033333333333334</v>
      </c>
      <c r="G6" s="1">
        <v>7</v>
      </c>
      <c r="H6" s="1" t="s">
        <v>2</v>
      </c>
      <c r="I6" s="1">
        <v>100</v>
      </c>
      <c r="J6" s="1">
        <v>37</v>
      </c>
    </row>
    <row r="7" spans="1:10" x14ac:dyDescent="0.3">
      <c r="A7" t="s">
        <v>5</v>
      </c>
      <c r="B7" s="1" t="s">
        <v>21</v>
      </c>
      <c r="C7" s="1" t="s">
        <v>20</v>
      </c>
      <c r="D7" s="1">
        <f>150/60</f>
        <v>2.5</v>
      </c>
      <c r="E7" s="1">
        <v>26.806666666666668</v>
      </c>
      <c r="F7" s="1">
        <v>0.14366666666666664</v>
      </c>
      <c r="G7" s="1">
        <v>7</v>
      </c>
      <c r="H7" s="1" t="s">
        <v>2</v>
      </c>
      <c r="I7" s="1">
        <v>100</v>
      </c>
      <c r="J7" s="1">
        <v>37</v>
      </c>
    </row>
    <row r="8" spans="1:10" x14ac:dyDescent="0.3">
      <c r="A8" t="s">
        <v>5</v>
      </c>
      <c r="B8" s="1" t="s">
        <v>22</v>
      </c>
      <c r="C8" s="1" t="s">
        <v>20</v>
      </c>
      <c r="D8" s="1">
        <f>165/60</f>
        <v>2.75</v>
      </c>
      <c r="E8" s="1">
        <v>33.410000000000004</v>
      </c>
      <c r="F8" s="1">
        <v>0.11099999999999999</v>
      </c>
      <c r="G8" s="1">
        <v>7</v>
      </c>
      <c r="H8" s="1" t="s">
        <v>2</v>
      </c>
      <c r="I8" s="1">
        <v>100</v>
      </c>
      <c r="J8" s="1">
        <v>37</v>
      </c>
    </row>
    <row r="9" spans="1:10" x14ac:dyDescent="0.3">
      <c r="A9" t="s">
        <v>5</v>
      </c>
      <c r="B9" s="1" t="s">
        <v>23</v>
      </c>
      <c r="C9" s="1" t="s">
        <v>20</v>
      </c>
      <c r="D9" s="1">
        <f>180/60</f>
        <v>3</v>
      </c>
      <c r="E9" s="1">
        <v>26.463333333333328</v>
      </c>
      <c r="F9" s="1">
        <v>0.17933333333333334</v>
      </c>
      <c r="G9" s="1">
        <v>7</v>
      </c>
      <c r="H9" s="1" t="s">
        <v>2</v>
      </c>
      <c r="I9" s="1">
        <v>100</v>
      </c>
      <c r="J9" s="1">
        <v>37</v>
      </c>
    </row>
    <row r="10" spans="1:10" x14ac:dyDescent="0.3">
      <c r="A10" t="s">
        <v>5</v>
      </c>
      <c r="B10" s="1" t="s">
        <v>24</v>
      </c>
      <c r="C10" s="1" t="s">
        <v>20</v>
      </c>
      <c r="D10" s="1">
        <f>195/60</f>
        <v>3.25</v>
      </c>
      <c r="E10" s="1">
        <v>30.786666666666665</v>
      </c>
      <c r="F10" s="1">
        <v>0.13433333333333333</v>
      </c>
      <c r="G10" s="1">
        <v>7</v>
      </c>
      <c r="H10" s="1" t="s">
        <v>2</v>
      </c>
      <c r="I10" s="1">
        <v>100</v>
      </c>
      <c r="J10" s="1">
        <v>37</v>
      </c>
    </row>
    <row r="11" spans="1:10" x14ac:dyDescent="0.3">
      <c r="A11" t="s">
        <v>5</v>
      </c>
      <c r="B11" s="1" t="s">
        <v>25</v>
      </c>
      <c r="C11" s="1" t="s">
        <v>20</v>
      </c>
      <c r="D11" s="1">
        <f>210/60</f>
        <v>3.5</v>
      </c>
      <c r="E11" s="1">
        <v>32.273333333333333</v>
      </c>
      <c r="F11" s="1">
        <v>0.13433333333333333</v>
      </c>
      <c r="G11" s="1">
        <v>7</v>
      </c>
      <c r="H11" s="1" t="s">
        <v>2</v>
      </c>
      <c r="I11" s="1">
        <v>100</v>
      </c>
      <c r="J11" s="1">
        <v>37</v>
      </c>
    </row>
    <row r="12" spans="1:10" x14ac:dyDescent="0.3">
      <c r="A12" t="s">
        <v>5</v>
      </c>
      <c r="B12" s="1" t="s">
        <v>26</v>
      </c>
      <c r="C12" s="1" t="s">
        <v>20</v>
      </c>
      <c r="D12" s="1">
        <f>225/60</f>
        <v>3.75</v>
      </c>
      <c r="E12" s="1">
        <v>26.006666666666664</v>
      </c>
      <c r="F12" s="1">
        <v>0.15033333333333335</v>
      </c>
      <c r="G12" s="1">
        <v>7</v>
      </c>
      <c r="H12" s="1" t="s">
        <v>2</v>
      </c>
      <c r="I12" s="1">
        <v>100</v>
      </c>
      <c r="J12" s="1">
        <v>37</v>
      </c>
    </row>
    <row r="13" spans="1:10" x14ac:dyDescent="0.3">
      <c r="A13" t="s">
        <v>5</v>
      </c>
      <c r="B13" s="1" t="s">
        <v>27</v>
      </c>
      <c r="C13" s="1" t="s">
        <v>20</v>
      </c>
      <c r="D13" s="1">
        <v>4</v>
      </c>
      <c r="E13" s="1">
        <v>37.286666666666669</v>
      </c>
      <c r="F13" s="1">
        <v>0.15233333333333332</v>
      </c>
      <c r="G13" s="1">
        <v>7</v>
      </c>
      <c r="H13" s="1" t="s">
        <v>2</v>
      </c>
      <c r="I13" s="1">
        <v>100</v>
      </c>
      <c r="J13" s="1">
        <v>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digestion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Uriel Perez</dc:creator>
  <cp:lastModifiedBy>HEBER URIEL PéREZ ORTEGA</cp:lastModifiedBy>
  <dcterms:created xsi:type="dcterms:W3CDTF">2026-02-13T20:31:31Z</dcterms:created>
  <dcterms:modified xsi:type="dcterms:W3CDTF">2026-02-20T19:03:36Z</dcterms:modified>
</cp:coreProperties>
</file>