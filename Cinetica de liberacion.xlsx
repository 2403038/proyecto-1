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er\Desktop\proyecto 1\"/>
    </mc:Choice>
  </mc:AlternateContent>
  <xr:revisionPtr revIDLastSave="0" documentId="8_{F4E5AC3B-935D-4579-9749-F4E6D6893CB3}" xr6:coauthVersionLast="47" xr6:coauthVersionMax="47" xr10:uidLastSave="{00000000-0000-0000-0000-000000000000}"/>
  <bookViews>
    <workbookView xWindow="-108" yWindow="-108" windowWidth="23256" windowHeight="13896" xr2:uid="{558B9D7A-DD30-4641-84AB-0C815F5AEB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D28" i="1" s="1"/>
  <c r="C25" i="1"/>
  <c r="C24" i="1"/>
  <c r="C23" i="1"/>
  <c r="D25" i="1" s="1"/>
  <c r="C22" i="1"/>
  <c r="C21" i="1"/>
  <c r="C20" i="1"/>
  <c r="D22" i="1" s="1"/>
  <c r="C19" i="1"/>
  <c r="C18" i="1"/>
  <c r="C17" i="1"/>
  <c r="D19" i="1" s="1"/>
  <c r="C16" i="1"/>
  <c r="D16" i="1" s="1"/>
  <c r="C15" i="1"/>
  <c r="C14" i="1"/>
  <c r="C13" i="1"/>
  <c r="C12" i="1"/>
  <c r="C11" i="1"/>
  <c r="D13" i="1" s="1"/>
  <c r="C10" i="1"/>
  <c r="C9" i="1"/>
  <c r="C8" i="1"/>
  <c r="D10" i="1" s="1"/>
  <c r="C7" i="1"/>
  <c r="C6" i="1"/>
  <c r="C5" i="1"/>
  <c r="D7" i="1" s="1"/>
  <c r="C4" i="1"/>
  <c r="C3" i="1"/>
  <c r="C2" i="1"/>
  <c r="D4" i="1" s="1"/>
  <c r="E22" i="1" l="1"/>
  <c r="E7" i="1"/>
  <c r="E28" i="1"/>
  <c r="E13" i="1"/>
  <c r="E19" i="1"/>
  <c r="E25" i="1"/>
  <c r="E10" i="1"/>
  <c r="E16" i="1"/>
</calcChain>
</file>

<file path=xl/sharedStrings.xml><?xml version="1.0" encoding="utf-8"?>
<sst xmlns="http://schemas.openxmlformats.org/spreadsheetml/2006/main" count="6" uniqueCount="6">
  <si>
    <t>Peso de las ACGs</t>
  </si>
  <si>
    <t>ABS</t>
  </si>
  <si>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Aptos Narrow"/>
        <family val="2"/>
        <scheme val="minor"/>
      </rPr>
      <t xml:space="preserve">g/mL </t>
    </r>
  </si>
  <si>
    <t>Promedio</t>
  </si>
  <si>
    <t>%liberacion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</si>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</sst>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EB92-C165-4819-9951-D61BC71695F0}">
  <dimension ref="A1:F28"/>
  <sheetViews>
    <sheetView tabSelected="1" workbookViewId="0">
      <selection activeCell="I16" sqref="I16"/>
    </sheetView>
  </sheetViews>
  <sheetFormatPr baseColWidth="10" defaultRowHeight="14.4" x14ac:dyDescent="0.3"/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5.0000000000000001E-4</v>
      </c>
      <c r="B2" s="3">
        <v>9.5000000000000001E-2</v>
      </c>
      <c r="C2" s="3">
        <f t="shared" ref="C2:C28" si="0">(B2+0.008)/0.0002</f>
        <v>515</v>
      </c>
      <c r="D2" s="3"/>
      <c r="E2" s="3"/>
    </row>
    <row r="3" spans="1:6" x14ac:dyDescent="0.3">
      <c r="A3" s="3">
        <v>5.0000000000000001E-4</v>
      </c>
      <c r="B3" s="3">
        <v>0.1</v>
      </c>
      <c r="C3" s="3">
        <f t="shared" si="0"/>
        <v>540</v>
      </c>
      <c r="D3" s="3"/>
      <c r="E3" s="3"/>
    </row>
    <row r="4" spans="1:6" x14ac:dyDescent="0.3">
      <c r="A4" s="3">
        <v>5.0000000000000001E-4</v>
      </c>
      <c r="B4" s="3">
        <v>0.11</v>
      </c>
      <c r="C4" s="3">
        <f t="shared" si="0"/>
        <v>589.99999999999989</v>
      </c>
      <c r="D4" s="3">
        <f>AVERAGE(C2:C4)</f>
        <v>548.33333333333337</v>
      </c>
      <c r="E4" s="4"/>
      <c r="F4">
        <v>0</v>
      </c>
    </row>
    <row r="5" spans="1:6" x14ac:dyDescent="0.3">
      <c r="A5" s="3">
        <v>5.0000000000000001E-4</v>
      </c>
      <c r="B5" s="5">
        <v>5.1999999999999998E-2</v>
      </c>
      <c r="C5" s="5">
        <f t="shared" si="0"/>
        <v>300</v>
      </c>
      <c r="D5" s="5"/>
      <c r="E5" s="5"/>
    </row>
    <row r="6" spans="1:6" x14ac:dyDescent="0.3">
      <c r="A6" s="3">
        <v>5.0000000000000001E-4</v>
      </c>
      <c r="B6" s="5">
        <v>5.8000000000000003E-2</v>
      </c>
      <c r="C6" s="5">
        <f t="shared" si="0"/>
        <v>330</v>
      </c>
      <c r="D6" s="5"/>
      <c r="E6" s="5"/>
    </row>
    <row r="7" spans="1:6" x14ac:dyDescent="0.3">
      <c r="A7" s="3">
        <v>5.0000000000000001E-4</v>
      </c>
      <c r="B7" s="5">
        <v>6.5000000000000002E-2</v>
      </c>
      <c r="C7" s="5">
        <f t="shared" si="0"/>
        <v>365.00000000000006</v>
      </c>
      <c r="D7" s="5">
        <f>AVERAGE(C5:C7)</f>
        <v>331.66666666666669</v>
      </c>
      <c r="E7" s="6">
        <f>((D4-D7)/D4)*100</f>
        <v>39.513677811550153</v>
      </c>
      <c r="F7">
        <v>1</v>
      </c>
    </row>
    <row r="8" spans="1:6" x14ac:dyDescent="0.3">
      <c r="A8" s="3">
        <v>5.0000000000000001E-4</v>
      </c>
      <c r="B8" s="3">
        <v>0.05</v>
      </c>
      <c r="C8" s="3">
        <f t="shared" si="0"/>
        <v>290</v>
      </c>
      <c r="D8" s="3"/>
      <c r="E8" s="3"/>
    </row>
    <row r="9" spans="1:6" x14ac:dyDescent="0.3">
      <c r="A9" s="3">
        <v>5.0000000000000001E-4</v>
      </c>
      <c r="B9" s="3">
        <v>3.5999999999999997E-2</v>
      </c>
      <c r="C9" s="3">
        <f t="shared" si="0"/>
        <v>219.99999999999997</v>
      </c>
      <c r="D9" s="3"/>
      <c r="E9" s="3"/>
    </row>
    <row r="10" spans="1:6" x14ac:dyDescent="0.3">
      <c r="A10" s="3">
        <v>5.0000000000000001E-4</v>
      </c>
      <c r="B10" s="3">
        <v>4.2999999999999997E-2</v>
      </c>
      <c r="C10" s="3">
        <f t="shared" si="0"/>
        <v>254.99999999999997</v>
      </c>
      <c r="D10" s="3">
        <f>AVERAGE(C8:C10)</f>
        <v>255</v>
      </c>
      <c r="E10" s="4">
        <f>((D4-D10)/D4)*100</f>
        <v>53.495440729483292</v>
      </c>
      <c r="F10">
        <v>2</v>
      </c>
    </row>
    <row r="11" spans="1:6" x14ac:dyDescent="0.3">
      <c r="A11" s="3">
        <v>5.0000000000000001E-4</v>
      </c>
      <c r="B11" s="5">
        <v>3.3000000000000002E-2</v>
      </c>
      <c r="C11" s="5">
        <f t="shared" si="0"/>
        <v>205</v>
      </c>
      <c r="D11" s="5"/>
      <c r="E11" s="5"/>
    </row>
    <row r="12" spans="1:6" x14ac:dyDescent="0.3">
      <c r="A12" s="3">
        <v>5.0000000000000001E-4</v>
      </c>
      <c r="B12" s="5">
        <v>2.4E-2</v>
      </c>
      <c r="C12" s="5">
        <f t="shared" si="0"/>
        <v>160</v>
      </c>
      <c r="D12" s="5"/>
      <c r="E12" s="5"/>
    </row>
    <row r="13" spans="1:6" x14ac:dyDescent="0.3">
      <c r="A13" s="3">
        <v>5.0000000000000001E-4</v>
      </c>
      <c r="B13" s="5">
        <v>2.8500000000000001E-2</v>
      </c>
      <c r="C13" s="5">
        <f t="shared" si="0"/>
        <v>182.50000000000003</v>
      </c>
      <c r="D13" s="5">
        <f>AVERAGE(C11:C13)</f>
        <v>182.5</v>
      </c>
      <c r="E13" s="6">
        <f>((D4-D13)/D4)*100</f>
        <v>66.717325227963528</v>
      </c>
      <c r="F13">
        <v>3</v>
      </c>
    </row>
    <row r="14" spans="1:6" x14ac:dyDescent="0.3">
      <c r="A14" s="3">
        <v>5.0000000000000001E-4</v>
      </c>
      <c r="B14" s="3">
        <v>1.9E-2</v>
      </c>
      <c r="C14" s="3">
        <f t="shared" si="0"/>
        <v>135</v>
      </c>
      <c r="D14" s="3"/>
      <c r="E14" s="3"/>
    </row>
    <row r="15" spans="1:6" x14ac:dyDescent="0.3">
      <c r="A15" s="3">
        <v>5.0000000000000001E-4</v>
      </c>
      <c r="B15" s="3">
        <v>0.02</v>
      </c>
      <c r="C15" s="3">
        <f t="shared" si="0"/>
        <v>140</v>
      </c>
      <c r="D15" s="3"/>
      <c r="E15" s="3"/>
    </row>
    <row r="16" spans="1:6" x14ac:dyDescent="0.3">
      <c r="A16" s="3">
        <v>5.0000000000000001E-4</v>
      </c>
      <c r="B16" s="3">
        <v>2.5000000000000001E-2</v>
      </c>
      <c r="C16" s="3">
        <f t="shared" si="0"/>
        <v>165</v>
      </c>
      <c r="D16" s="4">
        <f>AVERAGE(C14:C16)</f>
        <v>146.66666666666666</v>
      </c>
      <c r="E16" s="4">
        <f>((D4-D16)/D4)*100</f>
        <v>73.252279635258361</v>
      </c>
      <c r="F16">
        <v>4</v>
      </c>
    </row>
    <row r="17" spans="1:6" x14ac:dyDescent="0.3">
      <c r="A17" s="3">
        <v>5.0000000000000001E-4</v>
      </c>
      <c r="B17" s="5">
        <v>1.4999999999999999E-2</v>
      </c>
      <c r="C17" s="5">
        <f t="shared" si="0"/>
        <v>114.99999999999999</v>
      </c>
      <c r="D17" s="5"/>
      <c r="E17" s="6"/>
    </row>
    <row r="18" spans="1:6" x14ac:dyDescent="0.3">
      <c r="A18" s="3">
        <v>5.0000000000000001E-4</v>
      </c>
      <c r="B18" s="5">
        <v>1.7000000000000001E-2</v>
      </c>
      <c r="C18" s="5">
        <f t="shared" si="0"/>
        <v>125</v>
      </c>
      <c r="D18" s="5"/>
      <c r="E18" s="6"/>
    </row>
    <row r="19" spans="1:6" x14ac:dyDescent="0.3">
      <c r="A19" s="3">
        <v>5.0000000000000001E-4</v>
      </c>
      <c r="B19" s="5">
        <v>1.7999999999999999E-2</v>
      </c>
      <c r="C19" s="5">
        <f t="shared" si="0"/>
        <v>130</v>
      </c>
      <c r="D19" s="5">
        <f>AVERAGE(C17:C19)</f>
        <v>123.33333333333333</v>
      </c>
      <c r="E19" s="6">
        <f>((D4-D19)/D4)*100</f>
        <v>77.507598784194528</v>
      </c>
      <c r="F19">
        <v>5</v>
      </c>
    </row>
    <row r="20" spans="1:6" x14ac:dyDescent="0.3">
      <c r="A20" s="3">
        <v>5.0000000000000001E-4</v>
      </c>
      <c r="B20" s="3">
        <v>1.6E-2</v>
      </c>
      <c r="C20" s="3">
        <f t="shared" si="0"/>
        <v>120</v>
      </c>
      <c r="D20" s="3"/>
      <c r="E20" s="4"/>
    </row>
    <row r="21" spans="1:6" x14ac:dyDescent="0.3">
      <c r="A21" s="3">
        <v>5.0000000000000001E-4</v>
      </c>
      <c r="B21" s="3">
        <v>1.6E-2</v>
      </c>
      <c r="C21" s="3">
        <f t="shared" si="0"/>
        <v>120</v>
      </c>
      <c r="D21" s="3"/>
      <c r="E21" s="4"/>
    </row>
    <row r="22" spans="1:6" x14ac:dyDescent="0.3">
      <c r="A22" s="3">
        <v>5.0000000000000001E-4</v>
      </c>
      <c r="B22" s="3">
        <v>1.4999999999999999E-2</v>
      </c>
      <c r="C22" s="3">
        <f t="shared" si="0"/>
        <v>114.99999999999999</v>
      </c>
      <c r="D22" s="3">
        <f>AVERAGE(C20:C22)</f>
        <v>118.33333333333333</v>
      </c>
      <c r="E22" s="4">
        <f>((D4-D22)/D4)*100</f>
        <v>78.419452887538</v>
      </c>
      <c r="F22">
        <v>6</v>
      </c>
    </row>
    <row r="23" spans="1:6" x14ac:dyDescent="0.3">
      <c r="A23" s="3">
        <v>5.0000000000000001E-4</v>
      </c>
      <c r="B23" s="3">
        <v>4.0000000000000001E-3</v>
      </c>
      <c r="C23" s="3">
        <f t="shared" si="0"/>
        <v>60</v>
      </c>
      <c r="D23" s="3"/>
      <c r="E23" s="4"/>
    </row>
    <row r="24" spans="1:6" x14ac:dyDescent="0.3">
      <c r="A24" s="3">
        <v>5.0000000000000001E-4</v>
      </c>
      <c r="B24" s="3">
        <v>4.0000000000000001E-3</v>
      </c>
      <c r="C24" s="3">
        <f t="shared" si="0"/>
        <v>60</v>
      </c>
      <c r="D24" s="3"/>
      <c r="E24" s="4"/>
    </row>
    <row r="25" spans="1:6" x14ac:dyDescent="0.3">
      <c r="A25" s="3">
        <v>5.0000000000000001E-4</v>
      </c>
      <c r="B25" s="3">
        <v>0</v>
      </c>
      <c r="C25" s="3">
        <f t="shared" si="0"/>
        <v>40</v>
      </c>
      <c r="D25" s="3">
        <f>AVERAGE(C23:C25)</f>
        <v>53.333333333333336</v>
      </c>
      <c r="E25" s="4">
        <f>((D4-D25)/D4)*100</f>
        <v>90.273556231003042</v>
      </c>
      <c r="F25">
        <v>7</v>
      </c>
    </row>
    <row r="26" spans="1:6" x14ac:dyDescent="0.3">
      <c r="A26" s="3">
        <v>5.0000000000000001E-4</v>
      </c>
      <c r="B26" s="5">
        <v>-1.4999999999999999E-2</v>
      </c>
      <c r="C26" s="5">
        <f t="shared" si="0"/>
        <v>-34.999999999999993</v>
      </c>
      <c r="D26" s="5"/>
      <c r="E26" s="6"/>
    </row>
    <row r="27" spans="1:6" x14ac:dyDescent="0.3">
      <c r="A27" s="3">
        <v>5.0000000000000001E-4</v>
      </c>
      <c r="B27" s="5">
        <v>-1.2999999999999999E-2</v>
      </c>
      <c r="C27" s="5">
        <f t="shared" si="0"/>
        <v>-24.999999999999996</v>
      </c>
      <c r="D27" s="5"/>
      <c r="E27" s="6"/>
    </row>
    <row r="28" spans="1:6" x14ac:dyDescent="0.3">
      <c r="A28" s="3">
        <v>5.0000000000000001E-4</v>
      </c>
      <c r="B28" s="5">
        <v>-1.0999999999999999E-2</v>
      </c>
      <c r="C28" s="5">
        <f t="shared" si="0"/>
        <v>-14.999999999999995</v>
      </c>
      <c r="D28" s="5">
        <f>AVERAGE(C26:C28)</f>
        <v>-24.999999999999996</v>
      </c>
      <c r="E28" s="6">
        <f>((D4-D28)/D4)*100</f>
        <v>104.55927051671732</v>
      </c>
      <c r="F2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ORTEGA HEBER URIEL</dc:creator>
  <cp:lastModifiedBy>PEREZ ORTEGA HEBER URIEL</cp:lastModifiedBy>
  <dcterms:created xsi:type="dcterms:W3CDTF">2026-03-17T22:36:33Z</dcterms:created>
  <dcterms:modified xsi:type="dcterms:W3CDTF">2026-03-17T22:37:24Z</dcterms:modified>
</cp:coreProperties>
</file>